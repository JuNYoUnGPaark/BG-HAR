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321021f39b6e3ca/문서/BG-HAR/"/>
    </mc:Choice>
  </mc:AlternateContent>
  <xr:revisionPtr revIDLastSave="1284" documentId="8_{C6889FA6-3EF7-4B51-96EA-30E20D00EB92}" xr6:coauthVersionLast="47" xr6:coauthVersionMax="47" xr10:uidLastSave="{29A3FC6E-E786-4CB8-AE62-914C84E54DCD}"/>
  <bookViews>
    <workbookView xWindow="-120" yWindow="-120" windowWidth="29040" windowHeight="15720" xr2:uid="{1039E49F-D8A9-490E-A882-4D21007BA0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5" i="1" l="1"/>
  <c r="H15" i="1"/>
  <c r="H17" i="1"/>
  <c r="H23" i="1"/>
  <c r="H21" i="1"/>
  <c r="H20" i="1"/>
  <c r="H18" i="1"/>
  <c r="E23" i="1"/>
  <c r="E21" i="1"/>
  <c r="E17" i="1"/>
  <c r="E20" i="1"/>
  <c r="E18" i="1"/>
</calcChain>
</file>

<file path=xl/sharedStrings.xml><?xml version="1.0" encoding="utf-8"?>
<sst xmlns="http://schemas.openxmlformats.org/spreadsheetml/2006/main" count="117" uniqueCount="65">
  <si>
    <t>Confidence-only</t>
    <phoneticPr fontId="1" type="noConversion"/>
  </si>
  <si>
    <t>Representation-only</t>
    <phoneticPr fontId="1" type="noConversion"/>
  </si>
  <si>
    <t>Proposed</t>
    <phoneticPr fontId="1" type="noConversion"/>
  </si>
  <si>
    <t>Macro-F1</t>
    <phoneticPr fontId="1" type="noConversion"/>
  </si>
  <si>
    <t>Full Ratio</t>
    <phoneticPr fontId="1" type="noConversion"/>
  </si>
  <si>
    <t>Full-route only</t>
    <phoneticPr fontId="1" type="noConversion"/>
  </si>
  <si>
    <t>Early-route only</t>
    <phoneticPr fontId="1" type="noConversion"/>
  </si>
  <si>
    <t>w/o Compute penalty</t>
    <phoneticPr fontId="1" type="noConversion"/>
  </si>
  <si>
    <t>w/o Early loss</t>
    <phoneticPr fontId="1" type="noConversion"/>
  </si>
  <si>
    <t>Params</t>
    <phoneticPr fontId="1" type="noConversion"/>
  </si>
  <si>
    <t>Variant</t>
    <phoneticPr fontId="1" type="noConversion"/>
  </si>
  <si>
    <t>Shuffled pseudo-label</t>
    <phoneticPr fontId="1" type="noConversion"/>
  </si>
  <si>
    <t>Total Mamba Blocks</t>
    <phoneticPr fontId="1" type="noConversion"/>
  </si>
  <si>
    <t>3 (Proposed)</t>
    <phoneticPr fontId="1" type="noConversion"/>
  </si>
  <si>
    <t>Params (M)</t>
    <phoneticPr fontId="1" type="noConversion"/>
  </si>
  <si>
    <t xml:space="preserve">Dynamic </t>
    <phoneticPr fontId="1" type="noConversion"/>
  </si>
  <si>
    <t>Avg. FLOPs (M)</t>
    <phoneticPr fontId="1" type="noConversion"/>
  </si>
  <si>
    <t>Mode</t>
    <phoneticPr fontId="1" type="noConversion"/>
  </si>
  <si>
    <t>FLOPs Red.</t>
    <phoneticPr fontId="1" type="noConversion"/>
  </si>
  <si>
    <t>Full ratio</t>
    <phoneticPr fontId="1" type="noConversion"/>
  </si>
  <si>
    <t>τ</t>
    <phoneticPr fontId="1" type="noConversion"/>
  </si>
  <si>
    <t>fixed</t>
    <phoneticPr fontId="1" type="noConversion"/>
  </si>
  <si>
    <t>Avg.FLOPs (M)</t>
    <phoneticPr fontId="1" type="noConversion"/>
  </si>
  <si>
    <t>Early-only</t>
    <phoneticPr fontId="1" type="noConversion"/>
  </si>
  <si>
    <t>Full-only</t>
    <phoneticPr fontId="1" type="noConversion"/>
  </si>
  <si>
    <t>-</t>
    <phoneticPr fontId="1" type="noConversion"/>
  </si>
  <si>
    <t>Latency Red.</t>
    <phoneticPr fontId="1" type="noConversion"/>
  </si>
  <si>
    <t>Calibrated (Proposed)</t>
    <phoneticPr fontId="1" type="noConversion"/>
  </si>
  <si>
    <t>Avg. Latency (ms)</t>
    <phoneticPr fontId="1" type="noConversion"/>
  </si>
  <si>
    <t>UCI-HAR</t>
    <phoneticPr fontId="1" type="noConversion"/>
  </si>
  <si>
    <t>MHEALTH</t>
    <phoneticPr fontId="1" type="noConversion"/>
  </si>
  <si>
    <t>dataset</t>
    <phoneticPr fontId="1" type="noConversion"/>
  </si>
  <si>
    <t>mode</t>
    <phoneticPr fontId="1" type="noConversion"/>
  </si>
  <si>
    <t>accuracy</t>
    <phoneticPr fontId="1" type="noConversion"/>
  </si>
  <si>
    <t>WISDM</t>
    <phoneticPr fontId="1" type="noConversion"/>
  </si>
  <si>
    <t>MotionSense</t>
    <phoneticPr fontId="1" type="noConversion"/>
  </si>
  <si>
    <t>PAMAP2</t>
    <phoneticPr fontId="1" type="noConversion"/>
  </si>
  <si>
    <t>Method</t>
    <phoneticPr fontId="1" type="noConversion"/>
  </si>
  <si>
    <t>AUROC</t>
    <phoneticPr fontId="1" type="noConversion"/>
  </si>
  <si>
    <t>AUPRC</t>
    <phoneticPr fontId="1" type="noConversion"/>
  </si>
  <si>
    <t>Benefit Acc.</t>
    <phoneticPr fontId="1" type="noConversion"/>
  </si>
  <si>
    <t>Entropy-only</t>
    <phoneticPr fontId="1" type="noConversion"/>
  </si>
  <si>
    <t>Margin-only</t>
    <phoneticPr fontId="1" type="noConversion"/>
  </si>
  <si>
    <t>Proposed gate</t>
    <phoneticPr fontId="1" type="noConversion"/>
  </si>
  <si>
    <t>Corr. with Δ L</t>
    <phoneticPr fontId="1" type="noConversion"/>
  </si>
  <si>
    <t>Activity</t>
    <phoneticPr fontId="1" type="noConversion"/>
  </si>
  <si>
    <t>Samples</t>
    <phoneticPr fontId="1" type="noConversion"/>
  </si>
  <si>
    <t>Early Acc.</t>
    <phoneticPr fontId="1" type="noConversion"/>
  </si>
  <si>
    <t>Full Acc.</t>
    <phoneticPr fontId="1" type="noConversion"/>
  </si>
  <si>
    <t>Dynamic Acc.</t>
    <phoneticPr fontId="1" type="noConversion"/>
  </si>
  <si>
    <t>Full-Benefit Ratio</t>
    <phoneticPr fontId="1" type="noConversion"/>
  </si>
  <si>
    <t>WALKING</t>
    <phoneticPr fontId="1" type="noConversion"/>
  </si>
  <si>
    <t>WALKING_UPSTARIS</t>
    <phoneticPr fontId="1" type="noConversion"/>
  </si>
  <si>
    <t>WALKING_DOWNSTAIRS</t>
    <phoneticPr fontId="1" type="noConversion"/>
  </si>
  <si>
    <t>SITTING</t>
    <phoneticPr fontId="1" type="noConversion"/>
  </si>
  <si>
    <t>STANDING</t>
    <phoneticPr fontId="1" type="noConversion"/>
  </si>
  <si>
    <t>LAYING</t>
    <phoneticPr fontId="1" type="noConversion"/>
  </si>
  <si>
    <t>FLOPs (M)</t>
    <phoneticPr fontId="1" type="noConversion"/>
  </si>
  <si>
    <t>Table II: Ablation Study on UCI-HAR</t>
    <phoneticPr fontId="1" type="noConversion"/>
  </si>
  <si>
    <r>
      <t xml:space="preserve">Table IV: Sensitivity analysis of routing threshold </t>
    </r>
    <r>
      <rPr>
        <b/>
        <sz val="14"/>
        <color theme="1"/>
        <rFont val="Calibri"/>
        <family val="1"/>
        <charset val="161"/>
      </rPr>
      <t>τ</t>
    </r>
    <r>
      <rPr>
        <b/>
        <sz val="14"/>
        <color theme="1"/>
        <rFont val="Noto Serif KR"/>
        <family val="1"/>
        <charset val="129"/>
      </rPr>
      <t xml:space="preserve"> on UCI-HAR</t>
    </r>
    <phoneticPr fontId="1" type="noConversion"/>
  </si>
  <si>
    <t>Table V: Gate prediction quality on UCI-HAR</t>
    <phoneticPr fontId="1" type="noConversion"/>
  </si>
  <si>
    <t>Table VI: Class-wise routing behavior on UCI-HAR</t>
    <phoneticPr fontId="1" type="noConversion"/>
  </si>
  <si>
    <t>Table VII: Inference time comparison on Raspberry Pi 4B</t>
    <phoneticPr fontId="1" type="noConversion"/>
  </si>
  <si>
    <t>TABLE VIII: Overall performance and computational efficiency comparison across datasets</t>
    <phoneticPr fontId="1" type="noConversion"/>
  </si>
  <si>
    <r>
      <rPr>
        <b/>
        <sz val="14"/>
        <color theme="1"/>
        <rFont val="Noto Serif KR"/>
        <family val="1"/>
        <charset val="129"/>
      </rPr>
      <t xml:space="preserve">Table III: Effect of the number of Mamba blocks on UCI-HAR   </t>
    </r>
    <r>
      <rPr>
        <sz val="12"/>
        <color theme="1"/>
        <rFont val="Noto Serif KR"/>
        <family val="1"/>
        <charset val="129"/>
      </rPr>
      <t>(FLOPs/Latency Red. = (Full-Dynamic) / Full * 100)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</si>
</sst>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000"/>
    <numFmt numFmtId="178" formatCode="0.0%"/>
    <numFmt numFmtId="179" formatCode="0.0000_);[Red]\(0.0000\)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Noto Serif KR"/>
      <family val="1"/>
      <charset val="129"/>
    </font>
    <font>
      <sz val="14"/>
      <color theme="1"/>
      <name val="Noto Serif KR"/>
      <family val="1"/>
      <charset val="129"/>
    </font>
    <font>
      <b/>
      <sz val="11"/>
      <color theme="1"/>
      <name val="Noto Serif KR"/>
      <family val="1"/>
      <charset val="129"/>
    </font>
    <font>
      <sz val="11"/>
      <color theme="1"/>
      <name val="맑은 고딕"/>
      <family val="2"/>
      <charset val="129"/>
      <scheme val="minor"/>
    </font>
    <font>
      <sz val="12"/>
      <color theme="1"/>
      <name val="Noto Serif KR"/>
      <family val="1"/>
      <charset val="129"/>
    </font>
    <font>
      <b/>
      <sz val="14"/>
      <color theme="1"/>
      <name val="Noto Serif KR"/>
      <family val="1"/>
      <charset val="129"/>
    </font>
    <font>
      <b/>
      <sz val="14"/>
      <color theme="1"/>
      <name val="Calibri"/>
      <family val="1"/>
      <charset val="161"/>
    </font>
    <font>
      <sz val="11"/>
      <color rgb="FFFF0000"/>
      <name val="Noto Serif KR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2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7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178" fontId="2" fillId="0" borderId="1" xfId="1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176" fontId="2" fillId="0" borderId="1" xfId="1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79" fontId="2" fillId="0" borderId="1" xfId="1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8" fontId="2" fillId="0" borderId="0" xfId="1" applyNumberFormat="1" applyFont="1" applyBorder="1" applyAlignment="1">
      <alignment horizontal="center" vertical="center"/>
    </xf>
    <xf numFmtId="179" fontId="2" fillId="0" borderId="0" xfId="1" applyNumberFormat="1" applyFont="1" applyBorder="1" applyAlignment="1">
      <alignment horizontal="center" vertical="center"/>
    </xf>
    <xf numFmtId="176" fontId="2" fillId="0" borderId="0" xfId="1" applyNumberFormat="1" applyFont="1" applyBorder="1" applyAlignment="1">
      <alignment horizontal="center" vertical="center"/>
    </xf>
    <xf numFmtId="9" fontId="2" fillId="0" borderId="0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177" fontId="2" fillId="0" borderId="4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 vertical="center"/>
    </xf>
    <xf numFmtId="179" fontId="2" fillId="0" borderId="3" xfId="1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9" fontId="2" fillId="0" borderId="5" xfId="1" applyNumberFormat="1" applyFont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6" fontId="2" fillId="0" borderId="5" xfId="1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7" fontId="2" fillId="0" borderId="6" xfId="0" applyNumberFormat="1" applyFont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133541</xdr:colOff>
      <xdr:row>1</xdr:row>
      <xdr:rowOff>13939</xdr:rowOff>
    </xdr:from>
    <xdr:to>
      <xdr:col>20</xdr:col>
      <xdr:colOff>46463</xdr:colOff>
      <xdr:row>23</xdr:row>
      <xdr:rowOff>57151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B5E843-B047-346E-26D3-6CD57ECC4D71}"/>
            </a:ext>
          </a:extLst>
        </xdr:cNvPr>
        <xdr:cNvSpPr txBox="1"/>
      </xdr:nvSpPr>
      <xdr:spPr>
        <a:xfrm>
          <a:off x="11239691" y="309214"/>
          <a:ext cx="7456722" cy="783466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400" b="1">
              <a:latin typeface="+mn-ea"/>
              <a:ea typeface="+mn-ea"/>
            </a:rPr>
            <a:t>1. Full-route</a:t>
          </a:r>
          <a:r>
            <a:rPr lang="en-US" altLang="ko-KR" sz="1400" b="1" baseline="0">
              <a:latin typeface="+mn-ea"/>
              <a:ea typeface="+mn-ea"/>
            </a:rPr>
            <a:t> only: </a:t>
          </a:r>
          <a:r>
            <a:rPr lang="ko-KR" altLang="en-US" sz="1400" b="1" baseline="0">
              <a:latin typeface="+mn-ea"/>
              <a:ea typeface="+mn-ea"/>
            </a:rPr>
            <a:t>무조건 전체 경로 </a:t>
          </a:r>
          <a:r>
            <a:rPr lang="en-US" altLang="ko-KR" sz="1400" b="1" baseline="0">
              <a:latin typeface="+mn-ea"/>
              <a:ea typeface="+mn-ea"/>
            </a:rPr>
            <a:t>(1-&gt;2-&gt;3)</a:t>
          </a:r>
          <a:r>
            <a:rPr lang="ko-KR" altLang="en-US" sz="1400" b="1" baseline="0">
              <a:latin typeface="+mn-ea"/>
              <a:ea typeface="+mn-ea"/>
            </a:rPr>
            <a:t>을 사용해서 예측 </a:t>
          </a:r>
          <a:endParaRPr lang="en-US" altLang="ko-KR" sz="1400" b="1" baseline="0">
            <a:latin typeface="+mn-ea"/>
            <a:ea typeface="+mn-ea"/>
          </a:endParaRPr>
        </a:p>
        <a:p>
          <a:r>
            <a:rPr lang="ko-KR" altLang="en-US" sz="1400" i="1" baseline="0">
              <a:latin typeface="+mn-ea"/>
              <a:ea typeface="+mn-ea"/>
            </a:rPr>
            <a:t>모든 샘플을 </a:t>
          </a:r>
          <a:r>
            <a:rPr lang="en-US" altLang="ko-KR" sz="1400" i="1" baseline="0">
              <a:latin typeface="+mn-ea"/>
              <a:ea typeface="+mn-ea"/>
            </a:rPr>
            <a:t>Mamba block 3</a:t>
          </a:r>
          <a:r>
            <a:rPr lang="ko-KR" altLang="en-US" sz="1400" i="1" baseline="0">
              <a:latin typeface="+mn-ea"/>
              <a:ea typeface="+mn-ea"/>
            </a:rPr>
            <a:t>개 사용하는 경로로만 처리할 때의 성능과 연산량</a:t>
          </a:r>
          <a:r>
            <a:rPr lang="en-US" altLang="ko-KR" sz="1400" i="1" baseline="0">
              <a:latin typeface="+mn-ea"/>
              <a:ea typeface="+mn-ea"/>
            </a:rPr>
            <a:t>, </a:t>
          </a:r>
          <a:r>
            <a:rPr lang="ko-KR" altLang="en-US" sz="1400" i="1" baseline="0">
              <a:latin typeface="+mn-ea"/>
              <a:ea typeface="+mn-ea"/>
            </a:rPr>
            <a:t>추론시간을 제안모델과 비교하기 위함입니다</a:t>
          </a:r>
          <a:r>
            <a:rPr lang="en-US" altLang="ko-KR" sz="1400" i="1" baseline="0">
              <a:latin typeface="+mn-ea"/>
              <a:ea typeface="+mn-ea"/>
            </a:rPr>
            <a:t>. </a:t>
          </a:r>
        </a:p>
        <a:p>
          <a:r>
            <a:rPr lang="en-US" altLang="ko-KR" sz="1400" b="1" baseline="0">
              <a:latin typeface="+mn-ea"/>
              <a:ea typeface="+mn-ea"/>
            </a:rPr>
            <a:t>2. Early-route only: </a:t>
          </a:r>
          <a:r>
            <a:rPr lang="ko-KR" altLang="en-US" sz="1400" b="1" baseline="0">
              <a:latin typeface="+mn-ea"/>
              <a:ea typeface="+mn-ea"/>
            </a:rPr>
            <a:t>무조건 </a:t>
          </a:r>
          <a:r>
            <a:rPr lang="en-US" altLang="ko-KR" sz="1400" b="1" baseline="0">
              <a:latin typeface="+mn-ea"/>
              <a:ea typeface="+mn-ea"/>
            </a:rPr>
            <a:t>Early classifier</a:t>
          </a:r>
          <a:r>
            <a:rPr lang="ko-KR" altLang="en-US" sz="1400" b="1" baseline="0">
              <a:latin typeface="+mn-ea"/>
              <a:ea typeface="+mn-ea"/>
            </a:rPr>
            <a:t>로만 예측 </a:t>
          </a:r>
          <a:endParaRPr lang="en-US" altLang="ko-KR" sz="1400" b="1" baseline="0">
            <a:latin typeface="+mn-ea"/>
            <a:ea typeface="+mn-ea"/>
          </a:endParaRPr>
        </a:p>
        <a:p>
          <a:r>
            <a:rPr lang="ko-KR" altLang="en-US" sz="1400" i="1" baseline="0">
              <a:latin typeface="+mn-ea"/>
              <a:ea typeface="+mn-ea"/>
            </a:rPr>
            <a:t>모든 샘플을 </a:t>
          </a:r>
          <a:r>
            <a:rPr lang="en-US" altLang="ko-KR" sz="1400" i="1" baseline="0">
              <a:latin typeface="+mn-ea"/>
              <a:ea typeface="+mn-ea"/>
            </a:rPr>
            <a:t>Mamba block 1</a:t>
          </a:r>
          <a:r>
            <a:rPr lang="ko-KR" altLang="en-US" sz="1400" i="1" baseline="0">
              <a:latin typeface="+mn-ea"/>
              <a:ea typeface="+mn-ea"/>
            </a:rPr>
            <a:t>개만 사용하는 경로로만 처리할 때 제안모델 대비 성능 저하가 얼마나 일어나는지 확인하기 위함입니다</a:t>
          </a:r>
          <a:r>
            <a:rPr lang="en-US" altLang="ko-KR" sz="1400" i="1" baseline="0">
              <a:latin typeface="+mn-ea"/>
              <a:ea typeface="+mn-ea"/>
            </a:rPr>
            <a:t>. </a:t>
          </a:r>
        </a:p>
        <a:p>
          <a:r>
            <a:rPr lang="en-US" altLang="ko-KR" sz="1400" b="1" baseline="0">
              <a:latin typeface="+mn-ea"/>
              <a:ea typeface="+mn-ea"/>
            </a:rPr>
            <a:t>3. w/o Compute penalty: COMPUTE_PENALTY_WEIGHT = 0</a:t>
          </a:r>
        </a:p>
        <a:p>
          <a:r>
            <a:rPr lang="en-US" altLang="ko-KR" sz="1400" i="1" baseline="0">
              <a:latin typeface="+mn-ea"/>
              <a:ea typeface="+mn-ea"/>
            </a:rPr>
            <a:t>Gate</a:t>
          </a:r>
          <a:r>
            <a:rPr lang="ko-KR" altLang="en-US" sz="1400" i="1" baseline="0">
              <a:latin typeface="+mn-ea"/>
              <a:ea typeface="+mn-ea"/>
            </a:rPr>
            <a:t>가 연산량 압박 없이 학습될 때 </a:t>
          </a:r>
          <a:r>
            <a:rPr lang="en-US" altLang="ko-KR" sz="1400" i="1" baseline="0">
              <a:latin typeface="+mn-ea"/>
              <a:ea typeface="+mn-ea"/>
            </a:rPr>
            <a:t>Full(Continue) Route</a:t>
          </a:r>
          <a:r>
            <a:rPr lang="ko-KR" altLang="en-US" sz="1400" i="1" baseline="0">
              <a:latin typeface="+mn-ea"/>
              <a:ea typeface="+mn-ea"/>
            </a:rPr>
            <a:t>를 얼마나 많이 사용하는지를 확인시켜주기 위함입니다</a:t>
          </a:r>
          <a:r>
            <a:rPr lang="en-US" altLang="ko-KR" sz="1400" i="1" baseline="0">
              <a:latin typeface="+mn-ea"/>
              <a:ea typeface="+mn-ea"/>
            </a:rPr>
            <a:t>. </a:t>
          </a:r>
        </a:p>
        <a:p>
          <a:r>
            <a:rPr lang="en-US" altLang="ko-KR" sz="1400" b="1" baseline="0">
              <a:latin typeface="+mn-ea"/>
              <a:ea typeface="+mn-ea"/>
            </a:rPr>
            <a:t>4. w/o Early loss: EARLY_LOSS_WEIGHT = 0</a:t>
          </a:r>
        </a:p>
        <a:p>
          <a:r>
            <a:rPr lang="en-US" altLang="ko-KR" sz="1400" i="1" baseline="0">
              <a:latin typeface="+mn-ea"/>
              <a:ea typeface="+mn-ea"/>
            </a:rPr>
            <a:t>Early Classifier</a:t>
          </a:r>
          <a:r>
            <a:rPr lang="ko-KR" altLang="en-US" sz="1400" i="1" baseline="0">
              <a:latin typeface="+mn-ea"/>
              <a:ea typeface="+mn-ea"/>
            </a:rPr>
            <a:t>의 학습이 직접적으로 되지 않게 했을 때 </a:t>
          </a:r>
          <a:r>
            <a:rPr lang="en-US" altLang="ko-KR" sz="1400" i="1" baseline="0">
              <a:latin typeface="+mn-ea"/>
              <a:ea typeface="+mn-ea"/>
            </a:rPr>
            <a:t>Mamba Block 1</a:t>
          </a:r>
          <a:r>
            <a:rPr lang="ko-KR" altLang="en-US" sz="1400" i="1" baseline="0">
              <a:latin typeface="+mn-ea"/>
              <a:ea typeface="+mn-ea"/>
            </a:rPr>
            <a:t>을 통해 얻은 </a:t>
          </a:r>
          <a:r>
            <a:rPr lang="en-US" altLang="ko-KR" sz="1400" i="1" baseline="0">
              <a:latin typeface="+mn-ea"/>
              <a:ea typeface="+mn-ea"/>
            </a:rPr>
            <a:t>Early feature</a:t>
          </a:r>
          <a:r>
            <a:rPr lang="ko-KR" altLang="en-US" sz="1400" i="1" baseline="0">
              <a:latin typeface="+mn-ea"/>
              <a:ea typeface="+mn-ea"/>
            </a:rPr>
            <a:t>와 </a:t>
          </a:r>
          <a:r>
            <a:rPr lang="en-US" altLang="ko-KR" sz="1400" i="1" baseline="0">
              <a:latin typeface="+mn-ea"/>
              <a:ea typeface="+mn-ea"/>
            </a:rPr>
            <a:t>Early logits</a:t>
          </a:r>
          <a:r>
            <a:rPr lang="ko-KR" altLang="en-US" sz="1400" i="1" baseline="0">
              <a:latin typeface="+mn-ea"/>
              <a:ea typeface="+mn-ea"/>
            </a:rPr>
            <a:t>의 퀄리티 변화가 </a:t>
          </a:r>
          <a:r>
            <a:rPr lang="en-US" altLang="ko-KR" sz="1400" i="1" baseline="0">
              <a:latin typeface="+mn-ea"/>
              <a:ea typeface="+mn-ea"/>
            </a:rPr>
            <a:t>gating </a:t>
          </a:r>
          <a:r>
            <a:rPr lang="ko-KR" altLang="en-US" sz="1400" i="1" baseline="0">
              <a:latin typeface="+mn-ea"/>
              <a:ea typeface="+mn-ea"/>
            </a:rPr>
            <a:t>성능에 얼마나 영향을 주는지 확인하기 위함입니다</a:t>
          </a:r>
          <a:r>
            <a:rPr lang="en-US" altLang="ko-KR" sz="1400" i="1" baseline="0">
              <a:latin typeface="+mn-ea"/>
              <a:ea typeface="+mn-ea"/>
            </a:rPr>
            <a:t>. </a:t>
          </a:r>
        </a:p>
        <a:p>
          <a:r>
            <a:rPr lang="en-US" altLang="ko-KR" sz="14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5. Confidence-only: Gate</a:t>
          </a:r>
          <a:r>
            <a:rPr lang="en-US" altLang="ko-KR" sz="14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input</a:t>
          </a:r>
          <a:r>
            <a:rPr lang="ko-KR" altLang="en-US" sz="14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을 </a:t>
          </a:r>
          <a:r>
            <a:rPr lang="en-US" altLang="ko-KR" sz="14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confidence</a:t>
          </a:r>
          <a:r>
            <a:rPr lang="ko-KR" altLang="en-US" sz="14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만 사용</a:t>
          </a:r>
          <a:r>
            <a:rPr lang="en-US" altLang="ko-KR" sz="14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, MLP input </a:t>
          </a:r>
          <a:r>
            <a:rPr lang="ko-KR" altLang="en-US" sz="14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차원도 </a:t>
          </a:r>
          <a:r>
            <a:rPr lang="en-US" altLang="ko-KR" sz="14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1</a:t>
          </a:r>
          <a:r>
            <a:rPr lang="ko-KR" altLang="en-US" sz="14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로 감소시켜서 구현했습니다</a:t>
          </a:r>
          <a:r>
            <a:rPr lang="en-US" altLang="ko-KR" sz="14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. </a:t>
          </a:r>
          <a:endParaRPr lang="en-US" altLang="ko-KR" sz="1400" b="1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  <a:p>
          <a:r>
            <a:rPr lang="ko-KR" altLang="ko-KR" sz="1400" b="0" i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보편적으로 </a:t>
          </a:r>
          <a:r>
            <a:rPr lang="en-US" altLang="ko-KR" sz="1400" b="0" i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early-exit</a:t>
          </a:r>
          <a:r>
            <a:rPr lang="ko-KR" altLang="ko-KR" sz="1400" b="0" i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에서 사용하는 기존 방식과 비교해서 제안한 </a:t>
          </a:r>
          <a:r>
            <a:rPr lang="en-US" altLang="ko-KR" sz="1400" b="0" i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feature</a:t>
          </a:r>
          <a:r>
            <a:rPr lang="ko-KR" altLang="ko-KR" sz="1400" b="0" i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들의 효과를 확인하기 위함입니다</a:t>
          </a:r>
          <a:r>
            <a:rPr lang="en-US" altLang="ko-KR" sz="1400" b="0" i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. </a:t>
          </a:r>
          <a:endParaRPr lang="ko-KR" altLang="ko-KR" sz="1400" i="1">
            <a:effectLst/>
            <a:latin typeface="+mn-ea"/>
            <a:ea typeface="+mn-ea"/>
          </a:endParaRPr>
        </a:p>
        <a:p>
          <a:r>
            <a:rPr lang="en-US" altLang="ko-KR" sz="14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6. Representation-only: Gate input</a:t>
          </a:r>
          <a:r>
            <a:rPr lang="ko-KR" altLang="en-US" sz="14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을 첫번째 </a:t>
          </a:r>
          <a:r>
            <a:rPr lang="en-US" altLang="ko-KR" sz="14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Block</a:t>
          </a:r>
          <a:r>
            <a:rPr lang="ko-KR" altLang="en-US" sz="14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에서 얻은 </a:t>
          </a:r>
          <a:r>
            <a:rPr lang="en-US" altLang="ko-KR" sz="14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representation</a:t>
          </a:r>
          <a:r>
            <a:rPr lang="ko-KR" altLang="en-US" sz="14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만 사용</a:t>
          </a:r>
          <a:endParaRPr lang="en-US" altLang="ko-KR" sz="1400" b="1" baseline="0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ko-KR" sz="1400" b="0" i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Mamba block1</a:t>
          </a:r>
          <a:r>
            <a:rPr lang="ko-KR" altLang="ko-KR" sz="1400" b="0" i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을 통과 후 얻은 </a:t>
          </a:r>
          <a:r>
            <a:rPr lang="en-US" altLang="ko-KR" sz="1400" b="0" i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feature</a:t>
          </a:r>
          <a:r>
            <a:rPr lang="ko-KR" altLang="ko-KR" sz="1400" b="0" i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만</a:t>
          </a:r>
          <a:r>
            <a:rPr lang="ko-KR" altLang="en-US" sz="1400" b="0" i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을 </a:t>
          </a:r>
          <a:r>
            <a:rPr lang="en-US" altLang="ko-KR" sz="1400" b="0" i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Gate</a:t>
          </a:r>
          <a:r>
            <a:rPr lang="ko-KR" altLang="en-US" sz="1400" b="0" i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의 입력으로 사용했을 때도 </a:t>
          </a:r>
          <a:r>
            <a:rPr lang="ko-KR" altLang="ko-KR" sz="1400" b="0" i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라우팅 판단에 충분한</a:t>
          </a:r>
          <a:r>
            <a:rPr lang="ko-KR" altLang="en-US" sz="1400" b="0" i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지</a:t>
          </a:r>
          <a:r>
            <a:rPr lang="en-US" altLang="ko-KR" sz="1400" b="0" i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400" b="0" i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기여도</a:t>
          </a:r>
          <a:r>
            <a:rPr lang="en-US" altLang="ko-KR" sz="1400" b="0" i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)</a:t>
          </a:r>
          <a:r>
            <a:rPr lang="ko-KR" altLang="en-US" sz="1400" b="0" i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를</a:t>
          </a:r>
          <a:r>
            <a:rPr lang="ko-KR" altLang="ko-KR" sz="1400" b="0" i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확인하기 위함입니다</a:t>
          </a:r>
          <a:r>
            <a:rPr lang="en-US" altLang="ko-KR" sz="1400" b="0" i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. </a:t>
          </a:r>
          <a:endParaRPr lang="ko-KR" altLang="ko-KR" sz="1400" i="1">
            <a:effectLst/>
            <a:latin typeface="+mn-ea"/>
            <a:ea typeface="+mn-ea"/>
          </a:endParaRPr>
        </a:p>
        <a:p>
          <a:r>
            <a:rPr lang="en-US" altLang="ko-KR" sz="1400" b="1">
              <a:latin typeface="+mn-ea"/>
              <a:ea typeface="+mn-ea"/>
            </a:rPr>
            <a:t>7.</a:t>
          </a:r>
          <a:r>
            <a:rPr lang="en-US" altLang="ko-KR" sz="1400" b="1" baseline="0">
              <a:latin typeface="+mn-ea"/>
              <a:ea typeface="+mn-ea"/>
            </a:rPr>
            <a:t> Shuffled pseudo-label: Pseudo-label</a:t>
          </a:r>
          <a:r>
            <a:rPr lang="ko-KR" altLang="en-US" sz="1400" b="1" baseline="0">
              <a:latin typeface="+mn-ea"/>
              <a:ea typeface="+mn-ea"/>
            </a:rPr>
            <a:t>만 무작위 셔플해서 </a:t>
          </a:r>
          <a:r>
            <a:rPr lang="en-US" altLang="ko-KR" sz="1400" b="1" baseline="0">
              <a:latin typeface="+mn-ea"/>
              <a:ea typeface="+mn-ea"/>
            </a:rPr>
            <a:t>Gate </a:t>
          </a:r>
          <a:r>
            <a:rPr lang="ko-KR" altLang="en-US" sz="1400" b="1" baseline="0">
              <a:latin typeface="+mn-ea"/>
              <a:ea typeface="+mn-ea"/>
            </a:rPr>
            <a:t>학습 </a:t>
          </a:r>
          <a:endParaRPr lang="en-US" altLang="ko-KR" sz="1400" b="1" baseline="0">
            <a:latin typeface="+mn-ea"/>
            <a:ea typeface="+mn-ea"/>
          </a:endParaRPr>
        </a:p>
        <a:p>
          <a:r>
            <a:rPr lang="en-US" altLang="ko-KR" sz="1400" i="1" baseline="0">
              <a:latin typeface="+mn-ea"/>
              <a:ea typeface="+mn-ea"/>
            </a:rPr>
            <a:t>Gate</a:t>
          </a:r>
          <a:r>
            <a:rPr lang="ko-KR" altLang="en-US" sz="1400" i="1" baseline="0">
              <a:latin typeface="+mn-ea"/>
              <a:ea typeface="+mn-ea"/>
            </a:rPr>
            <a:t>의 구조는 그대로 두고</a:t>
          </a:r>
          <a:r>
            <a:rPr lang="en-US" altLang="ko-KR" sz="1400" i="1" baseline="0">
              <a:latin typeface="+mn-ea"/>
              <a:ea typeface="+mn-ea"/>
            </a:rPr>
            <a:t>, pseudo-label</a:t>
          </a:r>
          <a:r>
            <a:rPr lang="ko-KR" altLang="en-US" sz="1400" i="1" baseline="0">
              <a:latin typeface="+mn-ea"/>
              <a:ea typeface="+mn-ea"/>
            </a:rPr>
            <a:t>만 무작위로 섞어서 학습시켜 </a:t>
          </a:r>
          <a:r>
            <a:rPr lang="en-US" altLang="ko-KR" sz="1400" i="1" baseline="0">
              <a:latin typeface="+mn-ea"/>
              <a:ea typeface="+mn-ea"/>
            </a:rPr>
            <a:t>pseudo-label</a:t>
          </a:r>
          <a:r>
            <a:rPr lang="ko-KR" altLang="en-US" sz="1400" i="1" baseline="0">
              <a:latin typeface="+mn-ea"/>
              <a:ea typeface="+mn-ea"/>
            </a:rPr>
            <a:t>의 유효성을 입증하기 위함입니다</a:t>
          </a:r>
          <a:r>
            <a:rPr lang="en-US" altLang="ko-KR" sz="1100" i="1" baseline="0">
              <a:latin typeface="+mn-ea"/>
              <a:ea typeface="+mn-ea"/>
            </a:rPr>
            <a:t>. </a:t>
          </a:r>
          <a:endParaRPr lang="en-US" altLang="ko-KR" sz="1100" i="1">
            <a:latin typeface="+mn-ea"/>
            <a:ea typeface="+mn-ea"/>
          </a:endParaRPr>
        </a:p>
        <a:p>
          <a:endParaRPr lang="en-US" altLang="ko-KR" sz="1100"/>
        </a:p>
      </xdr:txBody>
    </xdr:sp>
    <xdr:clientData/>
  </xdr:twoCellAnchor>
  <xdr:twoCellAnchor>
    <xdr:from>
      <xdr:col>6</xdr:col>
      <xdr:colOff>69695</xdr:colOff>
      <xdr:row>1</xdr:row>
      <xdr:rowOff>0</xdr:rowOff>
    </xdr:from>
    <xdr:to>
      <xdr:col>8</xdr:col>
      <xdr:colOff>906036</xdr:colOff>
      <xdr:row>10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86CDF9F-28FC-12AE-0986-267D50FA250B}"/>
            </a:ext>
          </a:extLst>
        </xdr:cNvPr>
        <xdr:cNvSpPr txBox="1"/>
      </xdr:nvSpPr>
      <xdr:spPr>
        <a:xfrm>
          <a:off x="7817469" y="290396"/>
          <a:ext cx="3275671" cy="20908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Latency</a:t>
          </a:r>
          <a:r>
            <a:rPr lang="ko-KR" altLang="ko-KR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는 </a:t>
          </a:r>
          <a:r>
            <a:rPr lang="en-US" altLang="ko-KR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Colab</a:t>
          </a:r>
          <a:r>
            <a:rPr lang="ko-KR" altLang="ko-KR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 </a:t>
          </a:r>
          <a:r>
            <a:rPr lang="en-US" altLang="ko-KR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CPU </a:t>
          </a:r>
          <a:r>
            <a:rPr lang="ko-KR" altLang="ko-KR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환경에서 측정했고</a:t>
          </a:r>
          <a:r>
            <a:rPr lang="en-US" altLang="ko-KR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1</a:t>
          </a:r>
          <a:r>
            <a:rPr lang="ko-KR" altLang="ko-KR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개의 </a:t>
          </a:r>
          <a:r>
            <a:rPr lang="en-US" altLang="ko-KR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sample</a:t>
          </a:r>
          <a:r>
            <a:rPr lang="ko-KR" altLang="ko-KR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만 무작위로 선택하면 라우팅 결과에 따라 변동성이 커질 수 있</a:t>
          </a:r>
          <a:r>
            <a:rPr lang="ko-KR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 때문에</a:t>
          </a:r>
          <a:r>
            <a:rPr lang="ko-KR" altLang="ko-KR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Test set </a:t>
          </a:r>
          <a:r>
            <a:rPr lang="ko-KR" altLang="ko-KR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전체에 대해 </a:t>
          </a:r>
          <a:r>
            <a:rPr lang="en-US" altLang="ko-KR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Latency</a:t>
          </a:r>
          <a:r>
            <a:rPr lang="ko-KR" altLang="ko-KR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측정하고 </a:t>
          </a:r>
          <a:r>
            <a:rPr lang="en-US" altLang="ko-KR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sample</a:t>
          </a:r>
          <a:r>
            <a:rPr lang="ko-KR" altLang="ko-KR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수로 나누어 </a:t>
          </a:r>
          <a:r>
            <a:rPr lang="en-US" altLang="ko-KR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Avg. Latency(ms)</a:t>
          </a:r>
          <a:r>
            <a:rPr lang="ko-KR" altLang="ko-KR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계산했습니다</a:t>
          </a:r>
          <a:r>
            <a:rPr lang="en-US" altLang="ko-KR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ko-KR" altLang="ko-KR" sz="1400">
            <a:effectLst/>
          </a:endParaRPr>
        </a:p>
        <a:p>
          <a:endParaRPr lang="ko-KR" alt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35BA1-4DF5-492E-B067-18591472678A}">
  <dimension ref="A1:I79"/>
  <sheetViews>
    <sheetView tabSelected="1" topLeftCell="A49" zoomScaleNormal="100" workbookViewId="0">
      <selection activeCell="J57" sqref="J57"/>
    </sheetView>
  </sheetViews>
  <sheetFormatPr defaultRowHeight="16.5" x14ac:dyDescent="0.3"/>
  <cols>
    <col min="1" max="1" width="25.875" customWidth="1"/>
    <col min="2" max="2" width="18.125" customWidth="1"/>
    <col min="3" max="3" width="19.625" customWidth="1"/>
    <col min="4" max="4" width="15.625" customWidth="1"/>
    <col min="5" max="5" width="18.5" customWidth="1"/>
    <col min="6" max="7" width="17.875" customWidth="1"/>
    <col min="8" max="8" width="14.125" customWidth="1"/>
    <col min="9" max="9" width="12" customWidth="1"/>
  </cols>
  <sheetData>
    <row r="1" spans="1:9" ht="24" customHeight="1" x14ac:dyDescent="0.3">
      <c r="A1" s="36" t="s">
        <v>58</v>
      </c>
      <c r="B1" s="36"/>
      <c r="C1" s="36"/>
      <c r="D1" s="36"/>
      <c r="E1" s="36"/>
      <c r="F1" s="36"/>
      <c r="G1" s="13"/>
      <c r="H1" s="13"/>
    </row>
    <row r="2" spans="1:9" ht="18" x14ac:dyDescent="0.3">
      <c r="A2" s="12" t="s">
        <v>10</v>
      </c>
      <c r="B2" s="11" t="s">
        <v>3</v>
      </c>
      <c r="C2" s="11" t="s">
        <v>4</v>
      </c>
      <c r="D2" s="11" t="s">
        <v>22</v>
      </c>
      <c r="E2" s="11" t="s">
        <v>28</v>
      </c>
      <c r="F2" s="11" t="s">
        <v>9</v>
      </c>
      <c r="G2" s="16"/>
      <c r="H2" s="16"/>
    </row>
    <row r="3" spans="1:9" ht="18" x14ac:dyDescent="0.3">
      <c r="A3" s="2" t="s">
        <v>2</v>
      </c>
      <c r="B3" s="3">
        <v>0.96107412331701203</v>
      </c>
      <c r="C3" s="19">
        <v>0.18391584662368499</v>
      </c>
      <c r="D3" s="4">
        <v>9.3893000000000004</v>
      </c>
      <c r="E3" s="17">
        <v>1.1516</v>
      </c>
      <c r="F3" s="1">
        <v>8.0100000000000005E-2</v>
      </c>
      <c r="G3" s="14"/>
      <c r="H3" s="14"/>
    </row>
    <row r="4" spans="1:9" ht="18" x14ac:dyDescent="0.3">
      <c r="A4" s="2" t="s">
        <v>5</v>
      </c>
      <c r="B4" s="3">
        <v>0.95841433290403399</v>
      </c>
      <c r="C4" s="19">
        <v>1</v>
      </c>
      <c r="D4" s="4">
        <v>20.325099999999999</v>
      </c>
      <c r="E4" s="1">
        <v>1.4610000000000001</v>
      </c>
      <c r="F4" s="1">
        <v>8.0100000000000005E-2</v>
      </c>
      <c r="G4" s="14"/>
      <c r="H4" s="14"/>
    </row>
    <row r="5" spans="1:9" ht="18" x14ac:dyDescent="0.3">
      <c r="A5" s="2" t="s">
        <v>6</v>
      </c>
      <c r="B5" s="9">
        <v>0.94668828095360402</v>
      </c>
      <c r="C5" s="19">
        <v>0</v>
      </c>
      <c r="D5" s="10">
        <v>6.9122000000000003</v>
      </c>
      <c r="E5" s="10">
        <v>0.51180000000000003</v>
      </c>
      <c r="F5" s="1">
        <v>8.0100000000000005E-2</v>
      </c>
      <c r="G5" s="14"/>
      <c r="H5" s="14"/>
    </row>
    <row r="6" spans="1:9" ht="18" x14ac:dyDescent="0.3">
      <c r="A6" s="2" t="s">
        <v>7</v>
      </c>
      <c r="B6" s="1">
        <v>0.94920000000000004</v>
      </c>
      <c r="C6" s="19">
        <v>0.17649999999999999</v>
      </c>
      <c r="D6" s="4">
        <v>9.2887000000000004</v>
      </c>
      <c r="E6" s="4">
        <v>0.97260000000000002</v>
      </c>
      <c r="F6" s="1">
        <v>8.0100000000000005E-2</v>
      </c>
      <c r="G6" s="14"/>
      <c r="H6" s="14"/>
    </row>
    <row r="7" spans="1:9" ht="18" x14ac:dyDescent="0.3">
      <c r="A7" s="2" t="s">
        <v>8</v>
      </c>
      <c r="B7" s="3">
        <v>0.91200000000000003</v>
      </c>
      <c r="C7" s="19">
        <v>0.50249999999999995</v>
      </c>
      <c r="D7" s="4">
        <v>13.6807</v>
      </c>
      <c r="E7" s="4">
        <v>1.4559</v>
      </c>
      <c r="F7" s="1">
        <v>8.0100000000000005E-2</v>
      </c>
      <c r="G7" s="14"/>
      <c r="H7" s="14"/>
    </row>
    <row r="8" spans="1:9" ht="18" x14ac:dyDescent="0.3">
      <c r="A8" s="2" t="s">
        <v>0</v>
      </c>
      <c r="B8" s="1">
        <v>0.94720000000000004</v>
      </c>
      <c r="C8" s="19">
        <v>0</v>
      </c>
      <c r="D8" s="4">
        <v>6.907</v>
      </c>
      <c r="E8" s="4">
        <v>0.52729999999999999</v>
      </c>
      <c r="F8" s="1">
        <v>7.8100000000000003E-2</v>
      </c>
      <c r="G8" s="15"/>
      <c r="H8" s="15"/>
    </row>
    <row r="9" spans="1:9" ht="18" x14ac:dyDescent="0.3">
      <c r="A9" s="2" t="s">
        <v>1</v>
      </c>
      <c r="B9" s="1">
        <v>0.93879999999999997</v>
      </c>
      <c r="C9" s="19">
        <v>3.8699999999999998E-2</v>
      </c>
      <c r="D9" s="4">
        <v>7.4321000000000002</v>
      </c>
      <c r="E9" s="4">
        <v>1.0956999999999999</v>
      </c>
      <c r="F9" s="1">
        <v>8.0299999999999996E-2</v>
      </c>
      <c r="G9" s="15"/>
      <c r="H9" s="15"/>
    </row>
    <row r="10" spans="1:9" ht="18" x14ac:dyDescent="0.3">
      <c r="A10" s="2" t="s">
        <v>11</v>
      </c>
      <c r="B10" s="1">
        <v>0.94430000000000003</v>
      </c>
      <c r="C10" s="19">
        <v>1E-3</v>
      </c>
      <c r="D10" s="4">
        <v>6.9259000000000004</v>
      </c>
      <c r="E10" s="4">
        <v>0.55179999999999996</v>
      </c>
      <c r="F10" s="1">
        <v>8.0100000000000005E-2</v>
      </c>
      <c r="G10" s="15"/>
      <c r="H10" s="15"/>
    </row>
    <row r="11" spans="1:9" x14ac:dyDescent="0.3">
      <c r="A11" s="7"/>
    </row>
    <row r="12" spans="1:9" x14ac:dyDescent="0.3">
      <c r="A12" s="7"/>
    </row>
    <row r="13" spans="1:9" ht="24.75" customHeight="1" x14ac:dyDescent="0.3">
      <c r="A13" s="37" t="s">
        <v>64</v>
      </c>
      <c r="B13" s="38"/>
      <c r="C13" s="38"/>
      <c r="D13" s="38"/>
      <c r="E13" s="38"/>
      <c r="F13" s="38"/>
      <c r="G13" s="38"/>
      <c r="H13" s="38"/>
      <c r="I13" s="38"/>
    </row>
    <row r="14" spans="1:9" ht="18" x14ac:dyDescent="0.3">
      <c r="A14" s="11" t="s">
        <v>12</v>
      </c>
      <c r="B14" s="11" t="s">
        <v>17</v>
      </c>
      <c r="C14" s="11" t="s">
        <v>3</v>
      </c>
      <c r="D14" s="11" t="s">
        <v>16</v>
      </c>
      <c r="E14" s="11" t="s">
        <v>18</v>
      </c>
      <c r="F14" s="11" t="s">
        <v>19</v>
      </c>
      <c r="G14" s="11" t="s">
        <v>28</v>
      </c>
      <c r="H14" s="11" t="s">
        <v>26</v>
      </c>
      <c r="I14" s="11" t="s">
        <v>14</v>
      </c>
    </row>
    <row r="15" spans="1:9" ht="18" x14ac:dyDescent="0.3">
      <c r="A15" s="27">
        <v>4</v>
      </c>
      <c r="B15" s="1" t="s">
        <v>23</v>
      </c>
      <c r="C15" s="3">
        <v>0.90750915020647305</v>
      </c>
      <c r="D15" s="4">
        <v>6.9122000000000003</v>
      </c>
      <c r="E15" s="8">
        <f>(D16-D15)/D16</f>
        <v>0.74431834995413249</v>
      </c>
      <c r="F15" s="19">
        <v>0</v>
      </c>
      <c r="G15" s="4">
        <v>0.54379999999999995</v>
      </c>
      <c r="H15" s="6">
        <f>(G16-G15)/G16</f>
        <v>0.76817154793878162</v>
      </c>
      <c r="I15" s="27">
        <v>0.10630000000000001</v>
      </c>
    </row>
    <row r="16" spans="1:9" ht="18" x14ac:dyDescent="0.3">
      <c r="A16" s="27"/>
      <c r="B16" s="1" t="s">
        <v>24</v>
      </c>
      <c r="C16" s="3">
        <v>0.92788778391127003</v>
      </c>
      <c r="D16" s="4">
        <v>27.034400000000002</v>
      </c>
      <c r="E16" s="5" t="s">
        <v>25</v>
      </c>
      <c r="F16" s="19">
        <v>1</v>
      </c>
      <c r="G16" s="4">
        <v>2.3456999999999999</v>
      </c>
      <c r="H16" s="5" t="s">
        <v>25</v>
      </c>
      <c r="I16" s="27"/>
    </row>
    <row r="17" spans="1:9" ht="18" x14ac:dyDescent="0.3">
      <c r="A17" s="27"/>
      <c r="B17" s="1" t="s">
        <v>15</v>
      </c>
      <c r="C17" s="3">
        <v>0.923099557930806</v>
      </c>
      <c r="D17" s="4">
        <v>8.6992999999999991</v>
      </c>
      <c r="E17" s="8">
        <f>(D16-D17)/D16</f>
        <v>0.67821368330719389</v>
      </c>
      <c r="F17" s="19">
        <v>8.8564642008822497E-2</v>
      </c>
      <c r="G17" s="17">
        <v>0.88219999999999998</v>
      </c>
      <c r="H17" s="6">
        <f>(G16-G17)/G16</f>
        <v>0.6239075755637975</v>
      </c>
      <c r="I17" s="27"/>
    </row>
    <row r="18" spans="1:9" ht="18" x14ac:dyDescent="0.3">
      <c r="A18" s="27" t="s">
        <v>13</v>
      </c>
      <c r="B18" s="1" t="s">
        <v>23</v>
      </c>
      <c r="C18" s="3">
        <v>0.94668828095360402</v>
      </c>
      <c r="D18" s="4">
        <v>6.9122000000000003</v>
      </c>
      <c r="E18" s="8">
        <f>(D19-D18)/D19</f>
        <v>0.65991803238360447</v>
      </c>
      <c r="F18" s="19">
        <v>0</v>
      </c>
      <c r="G18" s="4">
        <v>0.51180000000000003</v>
      </c>
      <c r="H18" s="6">
        <f>(G19-G18)/G19</f>
        <v>0.64969199178644765</v>
      </c>
      <c r="I18" s="28">
        <v>8.0100000000000005E-2</v>
      </c>
    </row>
    <row r="19" spans="1:9" ht="18" x14ac:dyDescent="0.3">
      <c r="A19" s="27"/>
      <c r="B19" s="1" t="s">
        <v>24</v>
      </c>
      <c r="C19" s="3">
        <v>0.95841433290403399</v>
      </c>
      <c r="D19" s="4">
        <v>20.325099999999999</v>
      </c>
      <c r="E19" s="5" t="s">
        <v>25</v>
      </c>
      <c r="F19" s="19">
        <v>1</v>
      </c>
      <c r="G19" s="4">
        <v>1.4610000000000001</v>
      </c>
      <c r="H19" s="5" t="s">
        <v>25</v>
      </c>
      <c r="I19" s="28"/>
    </row>
    <row r="20" spans="1:9" ht="18" x14ac:dyDescent="0.3">
      <c r="A20" s="27"/>
      <c r="B20" s="1" t="s">
        <v>15</v>
      </c>
      <c r="C20" s="3">
        <v>0.96107412331701203</v>
      </c>
      <c r="D20" s="4">
        <v>9.3893000000000004</v>
      </c>
      <c r="E20" s="8">
        <f>(D19-D20)/D19</f>
        <v>0.53804409326399372</v>
      </c>
      <c r="F20" s="19">
        <v>0.18391584662368499</v>
      </c>
      <c r="G20" s="17">
        <v>1.1516</v>
      </c>
      <c r="H20" s="6">
        <f>(G19-G20)/G19</f>
        <v>0.21177275838466811</v>
      </c>
      <c r="I20" s="28"/>
    </row>
    <row r="21" spans="1:9" ht="18" x14ac:dyDescent="0.3">
      <c r="A21" s="27">
        <v>2</v>
      </c>
      <c r="B21" s="1" t="s">
        <v>23</v>
      </c>
      <c r="C21" s="3">
        <v>0.940606643938945</v>
      </c>
      <c r="D21" s="4">
        <v>6.9122000000000003</v>
      </c>
      <c r="E21" s="8">
        <f>(D22-D21)/D22</f>
        <v>0.49440437702064161</v>
      </c>
      <c r="F21" s="19">
        <v>0</v>
      </c>
      <c r="G21" s="4">
        <v>0.72650000000000003</v>
      </c>
      <c r="H21" s="6">
        <f>(G22-G21)/G22</f>
        <v>0.37066874566874569</v>
      </c>
      <c r="I21" s="27">
        <v>5.5100000000000003E-2</v>
      </c>
    </row>
    <row r="22" spans="1:9" ht="18" x14ac:dyDescent="0.3">
      <c r="A22" s="27"/>
      <c r="B22" s="1" t="s">
        <v>24</v>
      </c>
      <c r="C22" s="3">
        <v>0.944225203848294</v>
      </c>
      <c r="D22" s="4">
        <v>13.6714</v>
      </c>
      <c r="E22" s="5" t="s">
        <v>25</v>
      </c>
      <c r="F22" s="19">
        <v>1</v>
      </c>
      <c r="G22" s="4">
        <v>1.1544000000000001</v>
      </c>
      <c r="H22" s="5" t="s">
        <v>25</v>
      </c>
      <c r="I22" s="27"/>
    </row>
    <row r="23" spans="1:9" ht="18" x14ac:dyDescent="0.3">
      <c r="A23" s="27"/>
      <c r="B23" s="1" t="s">
        <v>15</v>
      </c>
      <c r="C23" s="3">
        <v>0.944225203848294</v>
      </c>
      <c r="D23" s="4">
        <v>7.8205</v>
      </c>
      <c r="E23" s="8">
        <f>(D22-D23)/D22</f>
        <v>0.42796641163304416</v>
      </c>
      <c r="F23" s="19">
        <v>0.13437393959959201</v>
      </c>
      <c r="G23" s="17">
        <v>0.70079999999999998</v>
      </c>
      <c r="H23" s="6">
        <f>(G22-G23)/G22</f>
        <v>0.39293139293139301</v>
      </c>
      <c r="I23" s="27"/>
    </row>
    <row r="24" spans="1:9" ht="18" x14ac:dyDescent="0.3">
      <c r="A24" s="14"/>
      <c r="B24" s="14"/>
      <c r="C24" s="21"/>
      <c r="D24" s="22"/>
      <c r="E24" s="23"/>
      <c r="F24" s="24"/>
      <c r="G24" s="25"/>
      <c r="H24" s="26"/>
      <c r="I24" s="14"/>
    </row>
    <row r="25" spans="1:9" ht="18" x14ac:dyDescent="0.3">
      <c r="A25" s="14"/>
      <c r="B25" s="14"/>
      <c r="C25" s="21"/>
      <c r="D25" s="22"/>
      <c r="E25" s="23"/>
      <c r="F25" s="24"/>
      <c r="G25" s="25"/>
      <c r="H25" s="26"/>
      <c r="I25" s="14"/>
    </row>
    <row r="26" spans="1:9" ht="23.25" x14ac:dyDescent="0.3">
      <c r="A26" s="36" t="s">
        <v>59</v>
      </c>
      <c r="B26" s="36"/>
      <c r="C26" s="36"/>
      <c r="D26" s="36"/>
      <c r="E26" s="36"/>
    </row>
    <row r="27" spans="1:9" ht="18" x14ac:dyDescent="0.3">
      <c r="A27" s="11" t="s">
        <v>10</v>
      </c>
      <c r="B27" s="11" t="s">
        <v>20</v>
      </c>
      <c r="C27" s="11" t="s">
        <v>3</v>
      </c>
      <c r="D27" s="11" t="s">
        <v>19</v>
      </c>
      <c r="E27" s="11" t="s">
        <v>16</v>
      </c>
      <c r="F27" s="11" t="s">
        <v>28</v>
      </c>
    </row>
    <row r="28" spans="1:9" ht="18" x14ac:dyDescent="0.3">
      <c r="A28" s="27" t="s">
        <v>21</v>
      </c>
      <c r="B28" s="18">
        <v>0.1</v>
      </c>
      <c r="C28" s="1">
        <v>0.95269999999999999</v>
      </c>
      <c r="D28" s="20">
        <v>0.2253</v>
      </c>
      <c r="E28" s="4">
        <v>9.9468999999999994</v>
      </c>
      <c r="F28" s="4">
        <v>1.347</v>
      </c>
    </row>
    <row r="29" spans="1:9" ht="18" x14ac:dyDescent="0.3">
      <c r="A29" s="27"/>
      <c r="B29" s="18">
        <v>0.3</v>
      </c>
      <c r="C29" s="1">
        <v>0.95320000000000005</v>
      </c>
      <c r="D29" s="19">
        <v>0.1951</v>
      </c>
      <c r="E29" s="4">
        <v>9.5401000000000007</v>
      </c>
      <c r="F29" s="4">
        <v>1.1902999999999999</v>
      </c>
    </row>
    <row r="30" spans="1:9" ht="18" x14ac:dyDescent="0.3">
      <c r="A30" s="27"/>
      <c r="B30" s="18">
        <v>0.5</v>
      </c>
      <c r="C30" s="1">
        <v>0.95450000000000002</v>
      </c>
      <c r="D30" s="19">
        <v>0.17749999999999999</v>
      </c>
      <c r="E30" s="4">
        <v>9.3025000000000002</v>
      </c>
      <c r="F30" s="4">
        <v>1.1431</v>
      </c>
    </row>
    <row r="31" spans="1:9" ht="18" x14ac:dyDescent="0.3">
      <c r="A31" s="27"/>
      <c r="B31" s="18">
        <v>0.7</v>
      </c>
      <c r="C31" s="1">
        <v>0.9536</v>
      </c>
      <c r="D31" s="19">
        <v>0.16320000000000001</v>
      </c>
      <c r="E31" s="4">
        <v>9.1105</v>
      </c>
      <c r="F31" s="4">
        <v>1.0940000000000001</v>
      </c>
    </row>
    <row r="32" spans="1:9" ht="18" x14ac:dyDescent="0.3">
      <c r="A32" s="1" t="s">
        <v>27</v>
      </c>
      <c r="B32" s="18">
        <v>0.42152712025425598</v>
      </c>
      <c r="C32" s="3">
        <v>0.96107412331701203</v>
      </c>
      <c r="D32" s="19">
        <v>0.18391584662368499</v>
      </c>
      <c r="E32" s="4">
        <v>9.3893000000000004</v>
      </c>
      <c r="F32" s="17">
        <v>1.1516</v>
      </c>
    </row>
    <row r="35" spans="1:8" ht="23.25" x14ac:dyDescent="0.3">
      <c r="A35" s="36" t="s">
        <v>60</v>
      </c>
      <c r="B35" s="36"/>
      <c r="C35" s="36"/>
      <c r="D35" s="36"/>
      <c r="E35" s="36"/>
    </row>
    <row r="36" spans="1:8" ht="18" x14ac:dyDescent="0.3">
      <c r="A36" s="12" t="s">
        <v>37</v>
      </c>
      <c r="B36" s="11" t="s">
        <v>38</v>
      </c>
      <c r="C36" s="11" t="s">
        <v>39</v>
      </c>
      <c r="D36" s="11" t="s">
        <v>40</v>
      </c>
      <c r="E36" s="11" t="s">
        <v>44</v>
      </c>
    </row>
    <row r="37" spans="1:8" ht="18" x14ac:dyDescent="0.3">
      <c r="A37" s="2" t="s">
        <v>0</v>
      </c>
      <c r="B37" s="3">
        <v>0.97599999999999998</v>
      </c>
      <c r="C37" s="1">
        <v>0.79210000000000003</v>
      </c>
      <c r="D37" s="1">
        <v>0.95550000000000002</v>
      </c>
      <c r="E37" s="1">
        <v>1.18E-2</v>
      </c>
    </row>
    <row r="38" spans="1:8" ht="18" x14ac:dyDescent="0.3">
      <c r="A38" s="2" t="s">
        <v>41</v>
      </c>
      <c r="B38" s="3">
        <v>0.97660000000000002</v>
      </c>
      <c r="C38" s="1">
        <v>0.77980000000000005</v>
      </c>
      <c r="D38" s="1">
        <v>0.95550000000000002</v>
      </c>
      <c r="E38" s="1">
        <v>-9.1999999999999998E-3</v>
      </c>
    </row>
    <row r="39" spans="1:8" ht="18" x14ac:dyDescent="0.3">
      <c r="A39" s="2" t="s">
        <v>42</v>
      </c>
      <c r="B39" s="3">
        <v>0.97540000000000004</v>
      </c>
      <c r="C39" s="1">
        <v>0.80559999999999998</v>
      </c>
      <c r="D39" s="1">
        <v>0.94569999999999999</v>
      </c>
      <c r="E39" s="1">
        <v>2.4299999999999999E-2</v>
      </c>
    </row>
    <row r="40" spans="1:8" ht="18" x14ac:dyDescent="0.3">
      <c r="A40" s="2" t="s">
        <v>43</v>
      </c>
      <c r="B40" s="3">
        <v>0.98</v>
      </c>
      <c r="C40" s="1">
        <v>0.81189999999999996</v>
      </c>
      <c r="D40" s="1">
        <v>0.95830000000000004</v>
      </c>
      <c r="E40" s="1">
        <v>9.5999999999999992E-3</v>
      </c>
    </row>
    <row r="43" spans="1:8" ht="23.25" x14ac:dyDescent="0.3">
      <c r="A43" s="39" t="s">
        <v>61</v>
      </c>
      <c r="B43" s="39"/>
      <c r="C43" s="39"/>
      <c r="D43" s="39"/>
      <c r="E43" s="39"/>
      <c r="F43" s="39"/>
      <c r="G43" s="39"/>
      <c r="H43" s="15"/>
    </row>
    <row r="44" spans="1:8" ht="18" x14ac:dyDescent="0.3">
      <c r="A44" s="12" t="s">
        <v>45</v>
      </c>
      <c r="B44" s="11" t="s">
        <v>46</v>
      </c>
      <c r="C44" s="11" t="s">
        <v>4</v>
      </c>
      <c r="D44" s="11" t="s">
        <v>47</v>
      </c>
      <c r="E44" s="11" t="s">
        <v>48</v>
      </c>
      <c r="F44" s="11" t="s">
        <v>49</v>
      </c>
      <c r="G44" s="11" t="s">
        <v>50</v>
      </c>
      <c r="H44" s="15"/>
    </row>
    <row r="45" spans="1:8" ht="18" x14ac:dyDescent="0.3">
      <c r="A45" s="30" t="s">
        <v>51</v>
      </c>
      <c r="B45" s="1">
        <v>496</v>
      </c>
      <c r="C45" s="3">
        <v>8.6693999999999993E-2</v>
      </c>
      <c r="D45" s="20">
        <v>0.954762</v>
      </c>
      <c r="E45" s="20">
        <v>0.99285699999999999</v>
      </c>
      <c r="F45" s="20">
        <v>0.998</v>
      </c>
      <c r="G45" s="3">
        <v>0.41666700000000001</v>
      </c>
      <c r="H45" s="15"/>
    </row>
    <row r="46" spans="1:8" ht="18" x14ac:dyDescent="0.3">
      <c r="A46" s="30" t="s">
        <v>52</v>
      </c>
      <c r="B46" s="1">
        <v>471</v>
      </c>
      <c r="C46" s="3">
        <v>0.20594499999999999</v>
      </c>
      <c r="D46" s="20">
        <v>0.89849599999999996</v>
      </c>
      <c r="E46" s="20">
        <v>0.96616500000000005</v>
      </c>
      <c r="F46" s="20">
        <v>0.94689999999999996</v>
      </c>
      <c r="G46" s="3">
        <v>0.28195500000000001</v>
      </c>
      <c r="H46" s="15"/>
    </row>
    <row r="47" spans="1:8" ht="18" x14ac:dyDescent="0.3">
      <c r="A47" s="30" t="s">
        <v>53</v>
      </c>
      <c r="B47" s="1">
        <v>420</v>
      </c>
      <c r="C47" s="3">
        <v>0.42381000000000002</v>
      </c>
      <c r="D47" s="20">
        <v>0.91719700000000004</v>
      </c>
      <c r="E47" s="20">
        <v>0.94692100000000001</v>
      </c>
      <c r="F47" s="20">
        <v>0.99050000000000005</v>
      </c>
      <c r="G47" s="3">
        <v>0.15923599999999999</v>
      </c>
      <c r="H47" s="15"/>
    </row>
    <row r="48" spans="1:8" ht="18" x14ac:dyDescent="0.3">
      <c r="A48" s="30" t="s">
        <v>54</v>
      </c>
      <c r="B48" s="1">
        <v>491</v>
      </c>
      <c r="C48" s="3">
        <v>0.16293299999999999</v>
      </c>
      <c r="D48" s="43">
        <v>0.99798399999999998</v>
      </c>
      <c r="E48" s="43">
        <v>0.99798399999999998</v>
      </c>
      <c r="F48" s="43">
        <v>0.86760000000000004</v>
      </c>
      <c r="G48" s="3">
        <v>7.0565000000000003E-2</v>
      </c>
      <c r="H48" s="15"/>
    </row>
    <row r="49" spans="1:8" ht="18" x14ac:dyDescent="0.3">
      <c r="A49" s="30" t="s">
        <v>55</v>
      </c>
      <c r="B49" s="1">
        <v>532</v>
      </c>
      <c r="C49" s="3">
        <v>0.270677</v>
      </c>
      <c r="D49" s="20">
        <v>0.91446000000000005</v>
      </c>
      <c r="E49" s="20">
        <v>0.84725099999999998</v>
      </c>
      <c r="F49" s="20">
        <v>0.96430000000000005</v>
      </c>
      <c r="G49" s="3">
        <v>5.4989999999999997E-2</v>
      </c>
      <c r="H49" s="15"/>
    </row>
    <row r="50" spans="1:8" ht="18" x14ac:dyDescent="0.3">
      <c r="A50" s="30" t="s">
        <v>56</v>
      </c>
      <c r="B50" s="1">
        <v>537</v>
      </c>
      <c r="C50" s="3">
        <v>0</v>
      </c>
      <c r="D50" s="20">
        <v>1</v>
      </c>
      <c r="E50" s="20">
        <v>1</v>
      </c>
      <c r="F50" s="20">
        <v>1</v>
      </c>
      <c r="G50" s="3">
        <v>0</v>
      </c>
      <c r="H50" s="15"/>
    </row>
    <row r="51" spans="1:8" ht="18" x14ac:dyDescent="0.3">
      <c r="A51" s="29"/>
      <c r="B51" s="33"/>
      <c r="C51" s="33"/>
      <c r="D51" s="33"/>
      <c r="E51" s="33"/>
      <c r="F51" s="33"/>
      <c r="G51" s="33"/>
      <c r="H51" s="15"/>
    </row>
    <row r="52" spans="1:8" ht="18" x14ac:dyDescent="0.3">
      <c r="A52" s="29"/>
      <c r="B52" s="33"/>
      <c r="C52" s="33"/>
      <c r="D52" s="33"/>
      <c r="E52" s="33"/>
      <c r="F52" s="33"/>
      <c r="G52" s="33"/>
      <c r="H52" s="15"/>
    </row>
    <row r="53" spans="1:8" ht="23.25" x14ac:dyDescent="0.3">
      <c r="A53" s="39" t="s">
        <v>62</v>
      </c>
      <c r="B53" s="39"/>
      <c r="C53" s="39"/>
      <c r="D53" s="39"/>
      <c r="E53" s="33"/>
      <c r="F53" s="33"/>
      <c r="G53" s="33"/>
      <c r="H53" s="15"/>
    </row>
    <row r="54" spans="1:8" ht="18" customHeight="1" x14ac:dyDescent="0.3">
      <c r="A54" s="11" t="s">
        <v>31</v>
      </c>
      <c r="B54" s="11" t="s">
        <v>17</v>
      </c>
      <c r="C54" s="11" t="s">
        <v>28</v>
      </c>
      <c r="D54" s="11" t="s">
        <v>57</v>
      </c>
      <c r="E54" s="11" t="s">
        <v>4</v>
      </c>
    </row>
    <row r="55" spans="1:8" ht="18" x14ac:dyDescent="0.3">
      <c r="A55" s="31" t="s">
        <v>29</v>
      </c>
      <c r="B55" s="1" t="s">
        <v>23</v>
      </c>
      <c r="C55" s="1"/>
      <c r="D55" s="1"/>
      <c r="E55" s="1"/>
    </row>
    <row r="56" spans="1:8" ht="18" x14ac:dyDescent="0.3">
      <c r="A56" s="31"/>
      <c r="B56" s="1" t="s">
        <v>24</v>
      </c>
      <c r="C56" s="1"/>
      <c r="D56" s="1"/>
      <c r="E56" s="1"/>
    </row>
    <row r="57" spans="1:8" ht="18.75" thickBot="1" x14ac:dyDescent="0.35">
      <c r="A57" s="55"/>
      <c r="B57" s="45" t="s">
        <v>2</v>
      </c>
      <c r="C57" s="45"/>
      <c r="D57" s="45"/>
      <c r="E57" s="45"/>
    </row>
    <row r="58" spans="1:8" ht="18.75" thickTop="1" x14ac:dyDescent="0.3">
      <c r="A58" s="54" t="s">
        <v>30</v>
      </c>
      <c r="B58" s="1" t="s">
        <v>23</v>
      </c>
      <c r="C58" s="35"/>
      <c r="D58" s="35"/>
      <c r="E58" s="35"/>
    </row>
    <row r="59" spans="1:8" ht="18" x14ac:dyDescent="0.3">
      <c r="A59" s="31"/>
      <c r="B59" s="1" t="s">
        <v>24</v>
      </c>
      <c r="C59" s="1"/>
      <c r="D59" s="1"/>
      <c r="E59" s="1"/>
    </row>
    <row r="60" spans="1:8" ht="18" x14ac:dyDescent="0.3">
      <c r="A60" s="31"/>
      <c r="B60" s="32" t="s">
        <v>2</v>
      </c>
      <c r="C60" s="1"/>
      <c r="D60" s="1"/>
      <c r="E60" s="1"/>
    </row>
    <row r="61" spans="1:8" ht="18" x14ac:dyDescent="0.3">
      <c r="A61" s="15"/>
      <c r="B61" s="15"/>
      <c r="C61" s="15"/>
      <c r="D61" s="15"/>
      <c r="E61" s="15"/>
      <c r="F61" s="15"/>
      <c r="G61" s="15"/>
      <c r="H61" s="15"/>
    </row>
    <row r="62" spans="1:8" ht="18" x14ac:dyDescent="0.3">
      <c r="A62" s="15"/>
      <c r="B62" s="15"/>
      <c r="C62" s="15"/>
      <c r="D62" s="15"/>
      <c r="E62" s="15"/>
      <c r="F62" s="15"/>
      <c r="G62" s="15"/>
      <c r="H62" s="15"/>
    </row>
    <row r="63" spans="1:8" ht="23.25" x14ac:dyDescent="0.3">
      <c r="A63" s="40" t="s">
        <v>63</v>
      </c>
      <c r="B63" s="40"/>
      <c r="C63" s="40"/>
      <c r="D63" s="40"/>
      <c r="E63" s="40"/>
      <c r="F63" s="40"/>
      <c r="G63" s="40"/>
      <c r="H63" s="40"/>
    </row>
    <row r="64" spans="1:8" ht="18" x14ac:dyDescent="0.3">
      <c r="A64" s="11" t="s">
        <v>31</v>
      </c>
      <c r="B64" s="11" t="s">
        <v>32</v>
      </c>
      <c r="C64" s="11" t="s">
        <v>33</v>
      </c>
      <c r="D64" s="11" t="s">
        <v>3</v>
      </c>
      <c r="E64" s="11" t="s">
        <v>4</v>
      </c>
      <c r="F64" s="11" t="s">
        <v>16</v>
      </c>
      <c r="G64" s="11" t="s">
        <v>28</v>
      </c>
      <c r="H64" s="11" t="s">
        <v>14</v>
      </c>
    </row>
    <row r="65" spans="1:8" ht="18" x14ac:dyDescent="0.3">
      <c r="A65" s="27" t="s">
        <v>29</v>
      </c>
      <c r="B65" s="1" t="s">
        <v>23</v>
      </c>
      <c r="C65" s="3">
        <v>0.94740413980318905</v>
      </c>
      <c r="D65" s="3">
        <v>0.94668828095360402</v>
      </c>
      <c r="E65" s="19">
        <v>0</v>
      </c>
      <c r="F65" s="4">
        <v>6.9122000000000003</v>
      </c>
      <c r="G65" s="4">
        <v>0.51180000000000003</v>
      </c>
      <c r="H65" s="28">
        <v>8.0100000000000005E-2</v>
      </c>
    </row>
    <row r="66" spans="1:8" ht="18" x14ac:dyDescent="0.3">
      <c r="A66" s="27"/>
      <c r="B66" s="1" t="s">
        <v>24</v>
      </c>
      <c r="C66" s="3">
        <v>0.95860196810315501</v>
      </c>
      <c r="D66" s="3">
        <v>0.95841433290403399</v>
      </c>
      <c r="E66" s="19">
        <v>1</v>
      </c>
      <c r="F66" s="4">
        <v>20.325099999999999</v>
      </c>
      <c r="G66" s="4">
        <v>1.4610000000000001</v>
      </c>
      <c r="H66" s="28"/>
    </row>
    <row r="67" spans="1:8" ht="18.75" thickBot="1" x14ac:dyDescent="0.35">
      <c r="A67" s="51"/>
      <c r="B67" s="45" t="s">
        <v>2</v>
      </c>
      <c r="C67" s="46">
        <v>0.96131659314557105</v>
      </c>
      <c r="D67" s="46">
        <v>0.96107412331701203</v>
      </c>
      <c r="E67" s="47">
        <v>0.18391584662368499</v>
      </c>
      <c r="F67" s="49">
        <v>9.3893000000000004</v>
      </c>
      <c r="G67" s="50">
        <v>1.1516</v>
      </c>
      <c r="H67" s="48"/>
    </row>
    <row r="68" spans="1:8" ht="18.75" thickTop="1" x14ac:dyDescent="0.3">
      <c r="A68" s="34" t="s">
        <v>34</v>
      </c>
      <c r="B68" s="35" t="s">
        <v>23</v>
      </c>
      <c r="C68" s="9">
        <v>0.97192786763338901</v>
      </c>
      <c r="D68" s="9">
        <v>0.96248491195161401</v>
      </c>
      <c r="E68" s="44">
        <v>0</v>
      </c>
      <c r="F68" s="10">
        <v>4.2610999999999999</v>
      </c>
      <c r="G68" s="10">
        <v>0.3196</v>
      </c>
      <c r="H68" s="41">
        <v>8.0286999999999997E-2</v>
      </c>
    </row>
    <row r="69" spans="1:8" ht="18" x14ac:dyDescent="0.3">
      <c r="A69" s="27"/>
      <c r="B69" s="1" t="s">
        <v>24</v>
      </c>
      <c r="C69" s="3">
        <v>0.9889</v>
      </c>
      <c r="D69" s="3">
        <v>0.98739598155061203</v>
      </c>
      <c r="E69" s="19">
        <v>1</v>
      </c>
      <c r="F69" s="4">
        <v>12.641999999999999</v>
      </c>
      <c r="G69" s="4">
        <v>1.0186999999999999</v>
      </c>
      <c r="H69" s="41"/>
    </row>
    <row r="70" spans="1:8" ht="18.75" thickBot="1" x14ac:dyDescent="0.35">
      <c r="A70" s="51"/>
      <c r="B70" s="45" t="s">
        <v>2</v>
      </c>
      <c r="C70" s="46">
        <v>0.9889</v>
      </c>
      <c r="D70" s="46">
        <v>0.98739598155061203</v>
      </c>
      <c r="E70" s="46">
        <v>0.30879345603271902</v>
      </c>
      <c r="F70" s="49">
        <v>6.51</v>
      </c>
      <c r="G70" s="49">
        <v>0.56479999999999997</v>
      </c>
      <c r="H70" s="52"/>
    </row>
    <row r="71" spans="1:8" ht="18.75" thickTop="1" x14ac:dyDescent="0.3">
      <c r="A71" s="34" t="s">
        <v>35</v>
      </c>
      <c r="B71" s="35" t="s">
        <v>23</v>
      </c>
      <c r="C71" s="9">
        <v>0.98050328723645397</v>
      </c>
      <c r="D71" s="9">
        <v>0.97748882360552902</v>
      </c>
      <c r="E71" s="44">
        <v>0</v>
      </c>
      <c r="F71" s="10">
        <v>6.8631000000000002</v>
      </c>
      <c r="G71" s="10">
        <v>0.49380000000000002</v>
      </c>
      <c r="H71" s="41">
        <v>8.0478999999999995E-2</v>
      </c>
    </row>
    <row r="72" spans="1:8" ht="18" x14ac:dyDescent="0.3">
      <c r="A72" s="27"/>
      <c r="B72" s="1" t="s">
        <v>24</v>
      </c>
      <c r="C72" s="3">
        <v>0.98909999999999998</v>
      </c>
      <c r="D72" s="3">
        <v>0.98942504381140095</v>
      </c>
      <c r="E72" s="19">
        <v>1</v>
      </c>
      <c r="F72" s="4">
        <v>20.276</v>
      </c>
      <c r="G72" s="4">
        <v>1.4289000000000001</v>
      </c>
      <c r="H72" s="41"/>
    </row>
    <row r="73" spans="1:8" ht="18.75" thickBot="1" x14ac:dyDescent="0.35">
      <c r="A73" s="51"/>
      <c r="B73" s="45" t="s">
        <v>2</v>
      </c>
      <c r="C73" s="46">
        <v>0.98909999999999998</v>
      </c>
      <c r="D73" s="46">
        <v>0.98942504381140095</v>
      </c>
      <c r="E73" s="46">
        <v>0.36794377692133301</v>
      </c>
      <c r="F73" s="49">
        <v>11.8187</v>
      </c>
      <c r="G73" s="49">
        <v>1.1661999999999999</v>
      </c>
      <c r="H73" s="52"/>
    </row>
    <row r="74" spans="1:8" ht="18.75" thickTop="1" x14ac:dyDescent="0.3">
      <c r="A74" s="34" t="s">
        <v>30</v>
      </c>
      <c r="B74" s="35" t="s">
        <v>23</v>
      </c>
      <c r="C74" s="9">
        <v>0.97204100652376502</v>
      </c>
      <c r="D74" s="9">
        <v>0.96800312421214696</v>
      </c>
      <c r="E74" s="44">
        <v>0</v>
      </c>
      <c r="F74" s="10">
        <v>7.0119999999999996</v>
      </c>
      <c r="G74" s="10">
        <v>0.66180000000000005</v>
      </c>
      <c r="H74" s="41">
        <v>8.1648999999999999E-2</v>
      </c>
    </row>
    <row r="75" spans="1:8" ht="18" x14ac:dyDescent="0.3">
      <c r="A75" s="27"/>
      <c r="B75" s="1" t="s">
        <v>24</v>
      </c>
      <c r="C75" s="3">
        <v>0.97670083876980396</v>
      </c>
      <c r="D75" s="3">
        <v>0.97382058387173798</v>
      </c>
      <c r="E75" s="19">
        <v>1</v>
      </c>
      <c r="F75" s="4">
        <v>20.424199999999999</v>
      </c>
      <c r="G75" s="4">
        <v>1.8765000000000001</v>
      </c>
      <c r="H75" s="41"/>
    </row>
    <row r="76" spans="1:8" ht="18.75" thickBot="1" x14ac:dyDescent="0.35">
      <c r="A76" s="51"/>
      <c r="B76" s="45" t="s">
        <v>2</v>
      </c>
      <c r="C76" s="46">
        <v>0.97483690587138805</v>
      </c>
      <c r="D76" s="46">
        <v>0.97209246775863301</v>
      </c>
      <c r="E76" s="46">
        <v>0.25535880708294501</v>
      </c>
      <c r="F76" s="49">
        <v>10.4514</v>
      </c>
      <c r="G76" s="49">
        <v>1.4754</v>
      </c>
      <c r="H76" s="52"/>
    </row>
    <row r="77" spans="1:8" ht="18.75" thickTop="1" x14ac:dyDescent="0.3">
      <c r="A77" s="34" t="s">
        <v>36</v>
      </c>
      <c r="B77" s="35" t="s">
        <v>23</v>
      </c>
      <c r="C77" s="9">
        <v>0.95783231757535803</v>
      </c>
      <c r="D77" s="9">
        <v>0.95666690578691105</v>
      </c>
      <c r="E77" s="44">
        <v>0</v>
      </c>
      <c r="F77" s="10">
        <v>7.2085999999999997</v>
      </c>
      <c r="G77" s="10">
        <v>0.52939999999999998</v>
      </c>
      <c r="H77" s="53">
        <v>8.2417000000000004E-2</v>
      </c>
    </row>
    <row r="78" spans="1:8" ht="18" x14ac:dyDescent="0.3">
      <c r="A78" s="27"/>
      <c r="B78" s="1" t="s">
        <v>24</v>
      </c>
      <c r="C78" s="3">
        <v>0.96936254323834603</v>
      </c>
      <c r="D78" s="3">
        <v>0.96853427606180997</v>
      </c>
      <c r="E78" s="19">
        <v>1</v>
      </c>
      <c r="F78" s="4">
        <v>20.620799999999999</v>
      </c>
      <c r="G78" s="4">
        <v>1.6798</v>
      </c>
      <c r="H78" s="41"/>
    </row>
    <row r="79" spans="1:8" ht="18" x14ac:dyDescent="0.3">
      <c r="A79" s="27"/>
      <c r="B79" s="1" t="s">
        <v>2</v>
      </c>
      <c r="C79" s="3">
        <v>0.96903310821940303</v>
      </c>
      <c r="D79" s="3">
        <v>0.96807145241325099</v>
      </c>
      <c r="E79" s="3">
        <v>0.168176577170153</v>
      </c>
      <c r="F79" s="4">
        <v>9.4738000000000007</v>
      </c>
      <c r="G79" s="1">
        <v>0.83199999999999996</v>
      </c>
      <c r="H79" s="42"/>
    </row>
  </sheetData>
  <mergeCells count="26">
    <mergeCell ref="H74:H76"/>
    <mergeCell ref="H77:H79"/>
    <mergeCell ref="H71:H73"/>
    <mergeCell ref="H68:H70"/>
    <mergeCell ref="A55:A57"/>
    <mergeCell ref="A58:A60"/>
    <mergeCell ref="A71:A73"/>
    <mergeCell ref="A74:A76"/>
    <mergeCell ref="A77:A79"/>
    <mergeCell ref="A35:E35"/>
    <mergeCell ref="A43:G43"/>
    <mergeCell ref="A53:D53"/>
    <mergeCell ref="A1:F1"/>
    <mergeCell ref="A15:A17"/>
    <mergeCell ref="A18:A20"/>
    <mergeCell ref="I18:I20"/>
    <mergeCell ref="A21:A23"/>
    <mergeCell ref="I21:I23"/>
    <mergeCell ref="I15:I17"/>
    <mergeCell ref="A13:I13"/>
    <mergeCell ref="A28:A31"/>
    <mergeCell ref="A26:E26"/>
    <mergeCell ref="A63:H63"/>
    <mergeCell ref="A65:A67"/>
    <mergeCell ref="A68:A70"/>
    <mergeCell ref="H65:H67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준영 박</dc:creator>
  <cp:lastModifiedBy>준영 박</cp:lastModifiedBy>
  <dcterms:created xsi:type="dcterms:W3CDTF">2026-05-07T07:05:00Z</dcterms:created>
  <dcterms:modified xsi:type="dcterms:W3CDTF">2026-05-15T12:53:03Z</dcterms:modified>
</cp:coreProperties>
</file>